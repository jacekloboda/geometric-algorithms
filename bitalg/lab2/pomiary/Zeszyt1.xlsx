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gorytmy-Geometryczne\bitalg\lab2\"/>
    </mc:Choice>
  </mc:AlternateContent>
  <xr:revisionPtr revIDLastSave="0" documentId="13_ncr:1_{BE25B07A-038D-44D8-8198-84E9C0CE4906}" xr6:coauthVersionLast="47" xr6:coauthVersionMax="47" xr10:uidLastSave="{00000000-0000-0000-0000-000000000000}"/>
  <bookViews>
    <workbookView xWindow="-120" yWindow="-120" windowWidth="25440" windowHeight="15390" activeTab="2" xr2:uid="{A987ADBE-AA03-438D-9F7F-8C647963911F}"/>
  </bookViews>
  <sheets>
    <sheet name="A" sheetId="5" r:id="rId1"/>
    <sheet name="C" sheetId="6" r:id="rId2"/>
    <sheet name="D2" sheetId="9" r:id="rId3"/>
    <sheet name="B" sheetId="8" r:id="rId4"/>
    <sheet name="D" sheetId="7" r:id="rId5"/>
  </sheets>
  <definedNames>
    <definedName name="ExternalData_1" localSheetId="0" hidden="1">A!$A$1:$E$6</definedName>
    <definedName name="ExternalData_2" localSheetId="1" hidden="1">'C'!$A$1:$E$6</definedName>
    <definedName name="ExternalData_2" localSheetId="4" hidden="1">D!$A$1:$E$6</definedName>
    <definedName name="ExternalData_3" localSheetId="3" hidden="1">B!$A$1:$E$5</definedName>
    <definedName name="ExternalData_4" localSheetId="2" hidden="1">'D2'!$C$1:$G$6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2" i="9"/>
  <c r="B3" i="9"/>
  <c r="B4" i="9"/>
  <c r="B5" i="9"/>
  <c r="B6" i="9"/>
  <c r="B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950380-86CD-4186-AC8C-B1A9223FC2C5}" keepAlive="1" name="Zapytanie — A" description="Połączenie z zapytaniem „A” w skoroszycie." type="5" refreshedVersion="8" background="1" saveData="1">
    <dbPr connection="Provider=Microsoft.Mashup.OleDb.1;Data Source=$Workbook$;Location=A;Extended Properties=&quot;&quot;" command="SELECT * FROM [A]"/>
  </connection>
  <connection id="2" xr16:uid="{90611DBC-7D99-4741-824F-020904C28EAF}" keepAlive="1" name="Zapytanie — B" description="Połączenie z zapytaniem „B” w skoroszycie." type="5" refreshedVersion="8" background="1" saveData="1">
    <dbPr connection="Provider=Microsoft.Mashup.OleDb.1;Data Source=$Workbook$;Location=B;Extended Properties=&quot;&quot;" command="SELECT * FROM [B]"/>
  </connection>
  <connection id="3" xr16:uid="{51BA369C-0FF0-4869-9775-7F142A49E850}" keepAlive="1" name="Zapytanie — C" description="Połączenie z zapytaniem „C” w skoroszycie." type="5" refreshedVersion="8" background="1" saveData="1">
    <dbPr connection="Provider=Microsoft.Mashup.OleDb.1;Data Source=$Workbook$;Location=C;Extended Properties=&quot;&quot;" command="SELECT * FROM [C]"/>
  </connection>
  <connection id="4" xr16:uid="{A2404442-04E4-4E72-AB81-8D88637A115B}" keepAlive="1" name="Zapytanie — D" description="Połączenie z zapytaniem „D” w skoroszycie." type="5" refreshedVersion="8" background="1" saveData="1">
    <dbPr connection="Provider=Microsoft.Mashup.OleDb.1;Data Source=$Workbook$;Location=D;Extended Properties=&quot;&quot;" command="SELECT * FROM [D]"/>
  </connection>
  <connection id="5" xr16:uid="{6973E49E-FE32-4E18-882E-B5C3B6D02BA9}" keepAlive="1" name="Zapytanie — D2" description="Połączenie z zapytaniem „D2” w skoroszycie." type="5" refreshedVersion="8" background="1" saveData="1">
    <dbPr connection="Provider=Microsoft.Mashup.OleDb.1;Data Source=$Workbook$;Location=D2;Extended Properties=&quot;&quot;" command="SELECT * FROM [D2]"/>
  </connection>
</connections>
</file>

<file path=xl/sharedStrings.xml><?xml version="1.0" encoding="utf-8"?>
<sst xmlns="http://schemas.openxmlformats.org/spreadsheetml/2006/main" count="27" uniqueCount="7">
  <si>
    <t>liczba pkt.</t>
  </si>
  <si>
    <t>graham otoczka</t>
  </si>
  <si>
    <t>graham czas</t>
  </si>
  <si>
    <t>jarvis otoczka</t>
  </si>
  <si>
    <t>jarvis czas</t>
  </si>
  <si>
    <t>liczba pkt. Diag</t>
  </si>
  <si>
    <t>liczba pkt.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</si>
</sst>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164" fontId="0" fillId="0" borderId="0" xfId="0" applyNumberFormat="1"/>
    <xf numFmtId="1" fontId="0" fillId="0" borderId="0" xfId="0" applyNumberFormat="1"/>
    <xf numFmtId="11" fontId="0" fillId="0" borderId="0" xfId="0" applyNumberFormat="1"/>
  </cellXfs>
  <cellStyles count="1">
    <cellStyle name="Normalny" xfId="0" builtinId="0"/>
  </cellStyles>
  <dxfs count="17">
    <dxf>
      <numFmt numFmtId="0" formatCode="General"/>
    </dxf>
    <dxf>
      <numFmt numFmtId="0" formatCode="General"/>
    </dxf>
    <dxf>
      <numFmt numFmtId="15" formatCode="0.00E+00"/>
    </dxf>
    <dxf>
      <numFmt numFmtId="15" formatCode="0.00E+00"/>
    </dxf>
    <dxf>
      <numFmt numFmtId="0" formatCode="General"/>
    </dxf>
    <dxf>
      <numFmt numFmtId="0" formatCode="General"/>
    </dxf>
    <dxf>
      <numFmt numFmtId="15" formatCode="0.00E+00"/>
    </dxf>
    <dxf>
      <numFmt numFmtId="15" formatCode="0.00E+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64" formatCode="0.0000000000"/>
    </dxf>
    <dxf>
      <numFmt numFmtId="164" formatCode="0.0000000000"/>
    </dxf>
    <dxf>
      <numFmt numFmtId="164" formatCode="0.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graham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A!$A$2:$A$6</c:f>
              <c:numCache>
                <c:formatCode>0.00E+00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A!$C$2:$C$6</c:f>
              <c:numCache>
                <c:formatCode>0.0000000000</c:formatCode>
                <c:ptCount val="5"/>
                <c:pt idx="0">
                  <c:v>4.66585159301757E-4</c:v>
                </c:pt>
                <c:pt idx="1">
                  <c:v>8.9628696441650304E-3</c:v>
                </c:pt>
                <c:pt idx="2">
                  <c:v>9.0553045272827107E-2</c:v>
                </c:pt>
                <c:pt idx="3">
                  <c:v>1.28506135940551</c:v>
                </c:pt>
                <c:pt idx="4">
                  <c:v>12.289138078689501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79-493E-9088-727329CEA937}"/>
            </c:ext>
          </c:extLst>
        </c:ser>
        <c:ser>
          <c:idx val="1"/>
          <c:order val="1"/>
          <c:tx>
            <c:v>jarvis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A!$A$2:$A$6</c:f>
              <c:numCache>
                <c:formatCode>0.00E+00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A!$E$2:$E$6</c:f>
              <c:numCache>
                <c:formatCode>General</c:formatCode>
                <c:ptCount val="5"/>
                <c:pt idx="0">
                  <c:v>7.0524215698242101E-4</c:v>
                </c:pt>
                <c:pt idx="1">
                  <c:v>9.44876670837402E-3</c:v>
                </c:pt>
                <c:pt idx="2">
                  <c:v>0.15631222724914501</c:v>
                </c:pt>
                <c:pt idx="3">
                  <c:v>1.23651099205017</c:v>
                </c:pt>
                <c:pt idx="4">
                  <c:v>13.077161788940399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79-493E-9088-727329CEA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753664"/>
        <c:axId val="1554745024"/>
      </c:scatterChart>
      <c:valAx>
        <c:axId val="155475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54745024"/>
        <c:crosses val="autoZero"/>
        <c:crossBetween val="midCat"/>
      </c:valAx>
      <c:valAx>
        <c:axId val="155474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54753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8</xdr:row>
      <xdr:rowOff>157162</xdr:rowOff>
    </xdr:from>
    <xdr:to>
      <xdr:col>4</xdr:col>
      <xdr:colOff>66675</xdr:colOff>
      <xdr:row>23</xdr:row>
      <xdr:rowOff>42862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EA1E01D-B205-69DF-049C-E9D6E77CB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4CC614-E445-4AF8-8540-C98634A60B57}" autoFormatId="16" applyNumberFormats="0" applyBorderFormats="0" applyFontFormats="0" applyPatternFormats="0" applyAlignmentFormats="0" applyWidthHeightFormats="0">
  <queryTableRefresh nextId="6">
    <queryTableFields count="5">
      <queryTableField id="1" name="liczba pkt." tableColumnId="1"/>
      <queryTableField id="2" name="graham otoczka" tableColumnId="2"/>
      <queryTableField id="3" name="graham czas" tableColumnId="3"/>
      <queryTableField id="4" name="jarvis otoczka" tableColumnId="4"/>
      <queryTableField id="5" name="jarvis cza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CA4B945-4D4B-44ED-B3F7-57FA1FD0BF17}" autoFormatId="16" applyNumberFormats="0" applyBorderFormats="0" applyFontFormats="0" applyPatternFormats="0" applyAlignmentFormats="0" applyWidthHeightFormats="0">
  <queryTableRefresh nextId="6">
    <queryTableFields count="5">
      <queryTableField id="1" name="liczba pkt." tableColumnId="1"/>
      <queryTableField id="2" name="graham otoczka" tableColumnId="2"/>
      <queryTableField id="3" name="graham czas" tableColumnId="3"/>
      <queryTableField id="4" name="jarvis otoczka" tableColumnId="4"/>
      <queryTableField id="5" name="jarvis cza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D1BBAE40-192F-4A1D-BB23-2225D2DE14C9}" autoFormatId="16" applyNumberFormats="0" applyBorderFormats="0" applyFontFormats="0" applyPatternFormats="0" applyAlignmentFormats="0" applyWidthHeightFormats="0">
  <queryTableRefresh nextId="6">
    <queryTableFields count="5">
      <queryTableField id="1" name="liczba pkt." tableColumnId="1"/>
      <queryTableField id="2" name="graham otoczka" tableColumnId="2"/>
      <queryTableField id="3" name="graham czas" tableColumnId="3"/>
      <queryTableField id="4" name="jarvis otoczka" tableColumnId="4"/>
      <queryTableField id="5" name="jarvis cza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F836329-DCD3-485F-A0F8-473DD3E6AD20}" autoFormatId="16" applyNumberFormats="0" applyBorderFormats="0" applyFontFormats="0" applyPatternFormats="0" applyAlignmentFormats="0" applyWidthHeightFormats="0">
  <queryTableRefresh nextId="6">
    <queryTableFields count="5">
      <queryTableField id="1" name="liczba pkt." tableColumnId="1"/>
      <queryTableField id="2" name="graham otoczka" tableColumnId="2"/>
      <queryTableField id="3" name="graham czas" tableColumnId="3"/>
      <queryTableField id="4" name="jarvis otoczka" tableColumnId="4"/>
      <queryTableField id="5" name="jarvis cza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16AB9C1-4199-4670-9679-0633F3E33610}" autoFormatId="16" applyNumberFormats="0" applyBorderFormats="0" applyFontFormats="0" applyPatternFormats="0" applyAlignmentFormats="0" applyWidthHeightFormats="0">
  <queryTableRefresh nextId="6">
    <queryTableFields count="5">
      <queryTableField id="1" name="liczba pkt." tableColumnId="1"/>
      <queryTableField id="2" name="graham otoczka" tableColumnId="2"/>
      <queryTableField id="3" name="graham czas" tableColumnId="3"/>
      <queryTableField id="4" name="jarvis otoczka" tableColumnId="4"/>
      <queryTableField id="5" name="jarvis cza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33D5C-E87E-4CCA-8F9A-29214890547E}" name="A" displayName="A" ref="A1:E6" tableType="queryTable" totalsRowShown="0" dataDxfId="14">
  <autoFilter ref="A1:E6" xr:uid="{2EE33D5C-E87E-4CCA-8F9A-29214890547E}"/>
  <tableColumns count="5">
    <tableColumn id="1" xr3:uid="{7360BA75-84D9-479D-9CCC-3ECB6EBE0065}" uniqueName="1" name="liczba pkt." queryTableFieldId="1" dataDxfId="6"/>
    <tableColumn id="2" xr3:uid="{690D03E0-581E-44BA-85DA-0D31632CC100}" uniqueName="2" name="graham otoczka" queryTableFieldId="2" dataDxfId="13"/>
    <tableColumn id="3" xr3:uid="{7E5F7EA1-1D03-4D05-8068-79D6A253837F}" uniqueName="3" name="graham czas" queryTableFieldId="3" dataDxfId="16"/>
    <tableColumn id="4" xr3:uid="{D059E549-19FB-4861-A30E-7CA21DCFBFE4}" uniqueName="4" name="jarvis otoczka" queryTableFieldId="4" dataDxfId="12"/>
    <tableColumn id="5" xr3:uid="{727CBB88-44F4-4D66-B544-9A09E2D4A0BF}" uniqueName="5" name="jarvis czas" queryTableFieldId="5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3DC1B0-D2EA-442A-9B65-160DC889EA99}" name="C_" displayName="C_" ref="A1:E6" tableType="queryTable" totalsRowShown="0">
  <autoFilter ref="A1:E6" xr:uid="{893DC1B0-D2EA-442A-9B65-160DC889EA99}"/>
  <tableColumns count="5">
    <tableColumn id="1" xr3:uid="{CDB45C43-5F0E-471E-AD01-B13D6D64291D}" uniqueName="1" name="liczba pkt." queryTableFieldId="1" dataDxfId="7"/>
    <tableColumn id="2" xr3:uid="{2B4AE75B-9FD0-47D3-85BA-43E811CD8BC7}" uniqueName="2" name="graham otoczka" queryTableFieldId="2"/>
    <tableColumn id="3" xr3:uid="{183261C7-34E3-41F1-A7FE-D0EC4A43A70C}" uniqueName="3" name="graham czas" queryTableFieldId="3" dataDxfId="11"/>
    <tableColumn id="4" xr3:uid="{F0F72064-12A5-4091-BB9E-717C1230A4F0}" uniqueName="4" name="jarvis otoczka" queryTableFieldId="4"/>
    <tableColumn id="5" xr3:uid="{D9EF74DB-CC60-4422-BF3E-7F74C537CA43}" uniqueName="5" name="jarvis czas" queryTableFieldId="5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44B09D-563F-462D-8C19-F5F0D57388C8}" name="D2_" displayName="D2_" ref="C1:G6" tableType="queryTable" totalsRowShown="0">
  <autoFilter ref="C1:G6" xr:uid="{4444B09D-563F-462D-8C19-F5F0D57388C8}"/>
  <tableColumns count="5">
    <tableColumn id="1" xr3:uid="{72C4E950-672F-4614-9D87-3BFFEEF4F79A}" uniqueName="1" name="liczba pkt. Diag" queryTableFieldId="1"/>
    <tableColumn id="2" xr3:uid="{0A6FB4AA-D8F9-4D5F-B39D-0F5689B5E7DC}" uniqueName="2" name="graham otoczka" queryTableFieldId="2"/>
    <tableColumn id="3" xr3:uid="{CD66920D-DC7A-4072-BCD5-B6C98854A483}" uniqueName="3" name="graham czas" queryTableFieldId="3" dataDxfId="1"/>
    <tableColumn id="4" xr3:uid="{A3E954E3-C2F7-446D-9BA9-8C928CD90CB4}" uniqueName="4" name="jarvis otoczka" queryTableFieldId="4"/>
    <tableColumn id="5" xr3:uid="{CAAF30D9-9CBA-4EA5-82C8-EF4DC3268373}" uniqueName="5" name="jarvis czas" queryTableFieldId="5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368B42-660B-4B07-B6EE-0C068847F61D}" name="B" displayName="B" ref="A1:E5" tableType="queryTable" totalsRowShown="0">
  <autoFilter ref="A1:E5" xr:uid="{39368B42-660B-4B07-B6EE-0C068847F61D}"/>
  <tableColumns count="5">
    <tableColumn id="1" xr3:uid="{2741ECD1-6238-41C0-8D7E-8E4F3B6C0AD7}" uniqueName="1" name="liczba pkt." queryTableFieldId="1"/>
    <tableColumn id="2" xr3:uid="{E0376D61-B1C5-4D87-950F-CDB12AC3D064}" uniqueName="2" name="graham otoczka" queryTableFieldId="2" dataDxfId="3"/>
    <tableColumn id="3" xr3:uid="{B7868A89-045D-4817-8D54-74374F660BF8}" uniqueName="3" name="graham czas" queryTableFieldId="3" dataDxfId="5"/>
    <tableColumn id="4" xr3:uid="{0DFFBDA5-9DE4-4EA3-AB12-B89BF0087E29}" uniqueName="4" name="jarvis otoczka" queryTableFieldId="4" dataDxfId="2"/>
    <tableColumn id="5" xr3:uid="{BB55FC7A-A499-4282-94D2-489BF39CCBE6}" uniqueName="5" name="jarvis czas" queryTableFieldId="5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33B74B-A6BA-467B-A56B-BDC2599EEC00}" name="D" displayName="D" ref="A1:E6" tableType="queryTable" totalsRowShown="0">
  <autoFilter ref="A1:E6" xr:uid="{0833B74B-A6BA-467B-A56B-BDC2599EEC00}"/>
  <tableColumns count="5">
    <tableColumn id="1" xr3:uid="{622F3C8A-5A90-4508-87D2-F3CD6B1D0D30}" uniqueName="1" name="liczba pkt." queryTableFieldId="1"/>
    <tableColumn id="2" xr3:uid="{6178AF8B-8E96-492D-AAA7-CB84769EAC6A}" uniqueName="2" name="graham otoczka" queryTableFieldId="2"/>
    <tableColumn id="3" xr3:uid="{3F81C893-E66B-492F-90B0-9D896469FD6D}" uniqueName="3" name="graham czas" queryTableFieldId="3" dataDxfId="9"/>
    <tableColumn id="4" xr3:uid="{1A2304AA-BB79-40B3-9F20-6A83FC8835A8}" uniqueName="4" name="jarvis otoczka" queryTableFieldId="4"/>
    <tableColumn id="5" xr3:uid="{AF4AED2E-8D58-4182-9718-FE5A0397CD1C}" uniqueName="5" name="jarvis czas" queryTableFieldId="5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617D-41B1-44DF-BB19-AA63656C02F1}">
  <dimension ref="A1:E6"/>
  <sheetViews>
    <sheetView workbookViewId="0">
      <selection activeCell="E14" sqref="E14"/>
    </sheetView>
  </sheetViews>
  <sheetFormatPr defaultRowHeight="15" x14ac:dyDescent="0.25"/>
  <cols>
    <col min="1" max="1" width="18.85546875" bestFit="1" customWidth="1"/>
    <col min="2" max="2" width="17.28515625" bestFit="1" customWidth="1"/>
    <col min="3" max="3" width="22" bestFit="1" customWidth="1"/>
    <col min="4" max="4" width="15.28515625" bestFit="1" customWidth="1"/>
    <col min="5" max="5" width="2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7">
        <v>100</v>
      </c>
      <c r="B2" s="6">
        <v>14</v>
      </c>
      <c r="C2" s="5">
        <v>4.66585159301757E-4</v>
      </c>
      <c r="D2" s="6">
        <v>14</v>
      </c>
      <c r="E2" s="5">
        <v>7.0524215698242101E-4</v>
      </c>
    </row>
    <row r="3" spans="1:5" x14ac:dyDescent="0.25">
      <c r="A3" s="7">
        <v>1000</v>
      </c>
      <c r="B3" s="6">
        <v>21</v>
      </c>
      <c r="C3" s="5">
        <v>8.9628696441650304E-3</v>
      </c>
      <c r="D3" s="6">
        <v>21</v>
      </c>
      <c r="E3" s="5">
        <v>9.44876670837402E-3</v>
      </c>
    </row>
    <row r="4" spans="1:5" x14ac:dyDescent="0.25">
      <c r="A4" s="7">
        <v>10000</v>
      </c>
      <c r="B4" s="6">
        <v>27</v>
      </c>
      <c r="C4" s="5">
        <v>9.0553045272827107E-2</v>
      </c>
      <c r="D4" s="6">
        <v>27</v>
      </c>
      <c r="E4" s="5">
        <v>0.15631222724914501</v>
      </c>
    </row>
    <row r="5" spans="1:5" x14ac:dyDescent="0.25">
      <c r="A5" s="7">
        <v>100000</v>
      </c>
      <c r="B5" s="6">
        <v>29</v>
      </c>
      <c r="C5" s="5">
        <v>1.28506135940551</v>
      </c>
      <c r="D5" s="6">
        <v>29</v>
      </c>
      <c r="E5" s="5">
        <v>1.23651099205017</v>
      </c>
    </row>
    <row r="6" spans="1:5" x14ac:dyDescent="0.25">
      <c r="A6" s="7">
        <v>1000000</v>
      </c>
      <c r="B6" s="6">
        <v>37</v>
      </c>
      <c r="C6" s="5">
        <v>12.289138078689501</v>
      </c>
      <c r="D6" s="6">
        <v>37</v>
      </c>
      <c r="E6" s="5">
        <v>13.077161788940399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99F7-1E2E-48F5-8550-8B3CD3E07258}">
  <dimension ref="A1:E6"/>
  <sheetViews>
    <sheetView workbookViewId="0">
      <selection activeCell="B16" sqref="B16"/>
    </sheetView>
  </sheetViews>
  <sheetFormatPr defaultRowHeight="15" x14ac:dyDescent="0.25"/>
  <cols>
    <col min="1" max="1" width="12.140625" bestFit="1" customWidth="1"/>
    <col min="2" max="2" width="17.140625" bestFit="1" customWidth="1"/>
    <col min="3" max="3" width="22" bestFit="1" customWidth="1"/>
    <col min="4" max="4" width="15.140625" bestFit="1" customWidth="1"/>
    <col min="5" max="5" width="2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7">
        <v>100</v>
      </c>
      <c r="B2">
        <v>8</v>
      </c>
      <c r="C2" s="1">
        <v>4.9638748168945302E-4</v>
      </c>
      <c r="D2">
        <v>8</v>
      </c>
      <c r="E2" s="1">
        <v>7.6985359191894499E-4</v>
      </c>
    </row>
    <row r="3" spans="1:5" x14ac:dyDescent="0.25">
      <c r="A3" s="7">
        <v>1000</v>
      </c>
      <c r="B3">
        <v>8</v>
      </c>
      <c r="C3" s="1">
        <v>1.05581283569335E-2</v>
      </c>
      <c r="D3">
        <v>8</v>
      </c>
      <c r="E3" s="1">
        <v>9.2856884002685495E-3</v>
      </c>
    </row>
    <row r="4" spans="1:5" x14ac:dyDescent="0.25">
      <c r="A4" s="7">
        <v>10000</v>
      </c>
      <c r="B4">
        <v>8</v>
      </c>
      <c r="C4" s="1">
        <v>0.13121604919433499</v>
      </c>
      <c r="D4">
        <v>8</v>
      </c>
      <c r="E4" s="1">
        <v>5.9414863586425698E-2</v>
      </c>
    </row>
    <row r="5" spans="1:5" x14ac:dyDescent="0.25">
      <c r="A5" s="7">
        <v>100000</v>
      </c>
      <c r="B5">
        <v>8</v>
      </c>
      <c r="C5" s="1">
        <v>1.86525011062622</v>
      </c>
      <c r="D5">
        <v>8</v>
      </c>
      <c r="E5" s="1">
        <v>0.49017357826232899</v>
      </c>
    </row>
    <row r="6" spans="1:5" x14ac:dyDescent="0.25">
      <c r="A6" s="7">
        <v>1000000</v>
      </c>
      <c r="B6">
        <v>8</v>
      </c>
      <c r="C6" s="1">
        <v>19.425027370452799</v>
      </c>
      <c r="D6">
        <v>8</v>
      </c>
      <c r="E6" s="1">
        <v>4.9485116004943803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CFCD-CFB8-4715-B56D-5A41288B929C}">
  <dimension ref="A1:G6"/>
  <sheetViews>
    <sheetView tabSelected="1" workbookViewId="0">
      <selection activeCell="G11" sqref="G11"/>
    </sheetView>
  </sheetViews>
  <sheetFormatPr defaultRowHeight="15" x14ac:dyDescent="0.25"/>
  <cols>
    <col min="2" max="2" width="14.42578125" bestFit="1" customWidth="1"/>
    <col min="3" max="3" width="16.5703125" bestFit="1" customWidth="1"/>
    <col min="4" max="4" width="17.140625" bestFit="1" customWidth="1"/>
    <col min="5" max="5" width="22" bestFit="1" customWidth="1"/>
    <col min="6" max="6" width="15.140625" bestFit="1" customWidth="1"/>
    <col min="7" max="7" width="22" bestFit="1" customWidth="1"/>
  </cols>
  <sheetData>
    <row r="1" spans="1:7" x14ac:dyDescent="0.25">
      <c r="A1" s="2" t="s">
        <v>0</v>
      </c>
      <c r="B1" s="2" t="s">
        <v>6</v>
      </c>
      <c r="C1" t="s">
        <v>5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s="3">
        <v>1</v>
      </c>
      <c r="B2" s="3">
        <f>A2*25</f>
        <v>25</v>
      </c>
      <c r="C2">
        <f>A2*20</f>
        <v>20</v>
      </c>
      <c r="D2">
        <v>4</v>
      </c>
      <c r="E2" s="1">
        <v>6.8998336791992101E-4</v>
      </c>
      <c r="F2">
        <v>4</v>
      </c>
      <c r="G2" s="1">
        <v>2.35319137573242E-4</v>
      </c>
    </row>
    <row r="3" spans="1:7" x14ac:dyDescent="0.25">
      <c r="A3" s="4">
        <v>10</v>
      </c>
      <c r="B3" s="3">
        <f t="shared" ref="B3:B6" si="0">A3*25</f>
        <v>250</v>
      </c>
      <c r="C3">
        <f t="shared" ref="C3:C6" si="1">A3*20</f>
        <v>200</v>
      </c>
      <c r="D3">
        <v>4</v>
      </c>
      <c r="E3" s="1">
        <v>1.01673603057861E-2</v>
      </c>
      <c r="F3">
        <v>4</v>
      </c>
      <c r="G3" s="1">
        <v>2.3646354675292899E-3</v>
      </c>
    </row>
    <row r="4" spans="1:7" x14ac:dyDescent="0.25">
      <c r="A4" s="3">
        <v>100</v>
      </c>
      <c r="B4" s="3">
        <f t="shared" si="0"/>
        <v>2500</v>
      </c>
      <c r="C4">
        <f t="shared" si="1"/>
        <v>2000</v>
      </c>
      <c r="D4">
        <v>4</v>
      </c>
      <c r="E4" s="1">
        <v>0.126873970031738</v>
      </c>
      <c r="F4">
        <v>4</v>
      </c>
      <c r="G4" s="1">
        <v>1.96449756622314E-2</v>
      </c>
    </row>
    <row r="5" spans="1:7" x14ac:dyDescent="0.25">
      <c r="A5" s="4">
        <v>1000</v>
      </c>
      <c r="B5" s="3">
        <f t="shared" si="0"/>
        <v>25000</v>
      </c>
      <c r="C5">
        <f t="shared" si="1"/>
        <v>20000</v>
      </c>
      <c r="D5">
        <v>4</v>
      </c>
      <c r="E5" s="1">
        <v>2.3100409507751398</v>
      </c>
      <c r="F5">
        <v>4</v>
      </c>
      <c r="G5" s="1">
        <v>0.19763493537902799</v>
      </c>
    </row>
    <row r="6" spans="1:7" x14ac:dyDescent="0.25">
      <c r="A6" s="3">
        <v>10000</v>
      </c>
      <c r="B6" s="3">
        <f t="shared" si="0"/>
        <v>250000</v>
      </c>
      <c r="C6">
        <f t="shared" si="1"/>
        <v>200000</v>
      </c>
      <c r="D6">
        <v>4</v>
      </c>
      <c r="E6" s="1">
        <v>23.745822429656901</v>
      </c>
      <c r="F6">
        <v>4</v>
      </c>
      <c r="G6" s="1">
        <v>2.07454013824462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BA5F1-70B5-48A9-BD19-D0A6C1E32CA7}">
  <dimension ref="A1:E5"/>
  <sheetViews>
    <sheetView workbookViewId="0">
      <selection activeCell="C13" sqref="C13"/>
    </sheetView>
  </sheetViews>
  <sheetFormatPr defaultRowHeight="15" x14ac:dyDescent="0.25"/>
  <cols>
    <col min="1" max="1" width="12.140625" bestFit="1" customWidth="1"/>
    <col min="2" max="2" width="17.140625" bestFit="1" customWidth="1"/>
    <col min="3" max="3" width="22" bestFit="1" customWidth="1"/>
    <col min="4" max="4" width="15.140625" bestFit="1" customWidth="1"/>
    <col min="5" max="5" width="2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7">
        <v>100</v>
      </c>
      <c r="B2" s="7">
        <v>100</v>
      </c>
      <c r="C2" s="1">
        <v>2.3496150970458902E-3</v>
      </c>
      <c r="D2" s="7">
        <v>100</v>
      </c>
      <c r="E2" s="1">
        <v>1.20792388916015E-2</v>
      </c>
    </row>
    <row r="3" spans="1:5" x14ac:dyDescent="0.25">
      <c r="A3" s="7">
        <v>1000</v>
      </c>
      <c r="B3" s="7">
        <v>1000</v>
      </c>
      <c r="C3" s="1">
        <v>2.23126411437988E-2</v>
      </c>
      <c r="D3" s="7">
        <v>1000</v>
      </c>
      <c r="E3" s="1">
        <v>0.92133188247680597</v>
      </c>
    </row>
    <row r="4" spans="1:5" x14ac:dyDescent="0.25">
      <c r="A4" s="7">
        <v>10000</v>
      </c>
      <c r="B4" s="7">
        <v>10000</v>
      </c>
      <c r="C4" s="1">
        <v>0.186848163604736</v>
      </c>
      <c r="D4" s="7">
        <v>10000</v>
      </c>
      <c r="E4" s="1">
        <v>93.927915096282902</v>
      </c>
    </row>
    <row r="5" spans="1:5" x14ac:dyDescent="0.25">
      <c r="A5" s="7">
        <v>100000</v>
      </c>
      <c r="B5" s="7">
        <v>100000</v>
      </c>
      <c r="C5" s="1">
        <v>2.1231455802917401</v>
      </c>
      <c r="D5" s="7">
        <v>100000</v>
      </c>
      <c r="E5" s="1">
        <v>7651.2508549690201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8E1D-942B-40A6-91D4-3D8B1A770335}">
  <dimension ref="A1:E6"/>
  <sheetViews>
    <sheetView workbookViewId="0">
      <selection activeCell="C14" sqref="C14"/>
    </sheetView>
  </sheetViews>
  <sheetFormatPr defaultRowHeight="15" x14ac:dyDescent="0.25"/>
  <cols>
    <col min="1" max="1" width="12.140625" bestFit="1" customWidth="1"/>
    <col min="2" max="2" width="17.140625" bestFit="1" customWidth="1"/>
    <col min="3" max="3" width="20.85546875" bestFit="1" customWidth="1"/>
    <col min="4" max="4" width="15.140625" bestFit="1" customWidth="1"/>
    <col min="5" max="5" width="2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7">
        <v>100</v>
      </c>
      <c r="B2">
        <v>4</v>
      </c>
      <c r="C2" s="1">
        <v>7.2381496429443299E-3</v>
      </c>
      <c r="D2">
        <v>4</v>
      </c>
      <c r="E2" s="1">
        <v>1.41382217407226E-3</v>
      </c>
    </row>
    <row r="3" spans="1:5" x14ac:dyDescent="0.25">
      <c r="A3" s="7">
        <v>1000</v>
      </c>
      <c r="B3">
        <v>4</v>
      </c>
      <c r="C3" s="1">
        <v>6.1836242675781201E-2</v>
      </c>
      <c r="D3">
        <v>4</v>
      </c>
      <c r="E3" s="1">
        <v>9.2258453369140608E-3</v>
      </c>
    </row>
    <row r="4" spans="1:5" x14ac:dyDescent="0.25">
      <c r="A4" s="7">
        <v>10000</v>
      </c>
      <c r="B4">
        <v>4</v>
      </c>
      <c r="C4" s="1">
        <v>0.86457872390747004</v>
      </c>
      <c r="D4">
        <v>4</v>
      </c>
      <c r="E4" s="1">
        <v>0.168197631835937</v>
      </c>
    </row>
    <row r="5" spans="1:5" x14ac:dyDescent="0.25">
      <c r="A5" s="7">
        <v>100000</v>
      </c>
      <c r="B5">
        <v>4</v>
      </c>
      <c r="C5" s="1">
        <v>9.6702370643615705</v>
      </c>
      <c r="D5">
        <v>4</v>
      </c>
      <c r="E5" s="1">
        <v>0.92391800880432096</v>
      </c>
    </row>
    <row r="6" spans="1:5" x14ac:dyDescent="0.25">
      <c r="A6" s="7">
        <v>1000000</v>
      </c>
      <c r="B6">
        <v>4</v>
      </c>
      <c r="C6" s="1">
        <v>118.391419410705</v>
      </c>
      <c r="D6">
        <v>4</v>
      </c>
      <c r="E6" s="1">
        <v>10.654157638549799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2BE376-A777-4CD3-B5BE-304A5B583D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A</vt:lpstr>
      <vt:lpstr>C</vt:lpstr>
      <vt:lpstr>D2</vt:lpstr>
      <vt:lpstr>B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Łoboda</dc:creator>
  <cp:lastModifiedBy>Jacek Łoboda</cp:lastModifiedBy>
  <dcterms:created xsi:type="dcterms:W3CDTF">2025-11-05T12:44:33Z</dcterms:created>
  <dcterms:modified xsi:type="dcterms:W3CDTF">2025-11-05T16:35:22Z</dcterms:modified>
</cp:coreProperties>
</file>